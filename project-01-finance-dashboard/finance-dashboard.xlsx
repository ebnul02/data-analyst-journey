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bnul\data-analyst-journey\"/>
    </mc:Choice>
  </mc:AlternateContent>
  <xr:revisionPtr revIDLastSave="0" documentId="13_ncr:1_{23EC015D-76DA-41BE-9966-A75EC780EF9E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Raw Data" sheetId="1" r:id="rId1"/>
    <sheet name="Summary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18" i="2"/>
  <c r="B17" i="2"/>
  <c r="B16" i="2"/>
  <c r="B15" i="2"/>
  <c r="B14" i="2"/>
  <c r="B13" i="2"/>
  <c r="B6" i="2"/>
  <c r="B9" i="2" s="1"/>
  <c r="B5" i="2"/>
  <c r="B10" i="2" s="1"/>
  <c r="B19" i="2" l="1"/>
  <c r="B7" i="2"/>
  <c r="B8" i="2"/>
</calcChain>
</file>

<file path=xl/sharedStrings.xml><?xml version="1.0" encoding="utf-8"?>
<sst xmlns="http://schemas.openxmlformats.org/spreadsheetml/2006/main" count="133" uniqueCount="63">
  <si>
    <t>Date</t>
  </si>
  <si>
    <t>Category</t>
  </si>
  <si>
    <t>Description</t>
  </si>
  <si>
    <t>Amount</t>
  </si>
  <si>
    <t>Type</t>
  </si>
  <si>
    <t>2026-01-01</t>
  </si>
  <si>
    <t>Income</t>
  </si>
  <si>
    <t>Part-time shift pay</t>
  </si>
  <si>
    <t>2026-01-05</t>
  </si>
  <si>
    <t>Rent</t>
  </si>
  <si>
    <t>Monthly rent</t>
  </si>
  <si>
    <t>Expense</t>
  </si>
  <si>
    <t>2026-01-08</t>
  </si>
  <si>
    <t>Groceries</t>
  </si>
  <si>
    <t>Weekly groceries</t>
  </si>
  <si>
    <t>2026-01-12</t>
  </si>
  <si>
    <t>Transport</t>
  </si>
  <si>
    <t>Bus pass</t>
  </si>
  <si>
    <t>2026-01-15</t>
  </si>
  <si>
    <t>2026-01-20</t>
  </si>
  <si>
    <t>Eating Out</t>
  </si>
  <si>
    <t>Dinner with friends</t>
  </si>
  <si>
    <t>2026-01-22</t>
  </si>
  <si>
    <t>Subscriptions</t>
  </si>
  <si>
    <t>Netflix</t>
  </si>
  <si>
    <t>2026-01-25</t>
  </si>
  <si>
    <t>2026-02-01</t>
  </si>
  <si>
    <t>2026-02-05</t>
  </si>
  <si>
    <t>2026-02-09</t>
  </si>
  <si>
    <t>2026-02-14</t>
  </si>
  <si>
    <t>Valentine's dinner</t>
  </si>
  <si>
    <t>2026-02-15</t>
  </si>
  <si>
    <t>2026-02-16</t>
  </si>
  <si>
    <t>2026-02-20</t>
  </si>
  <si>
    <t>Entertainment</t>
  </si>
  <si>
    <t>Cinema</t>
  </si>
  <si>
    <t>2026-02-22</t>
  </si>
  <si>
    <t>2026-03-01</t>
  </si>
  <si>
    <t>2026-03-05</t>
  </si>
  <si>
    <t>2026-03-06</t>
  </si>
  <si>
    <t>2026-03-08</t>
  </si>
  <si>
    <t>2026-03-10</t>
  </si>
  <si>
    <t>Lunch with classmates</t>
  </si>
  <si>
    <t>2026-03-15</t>
  </si>
  <si>
    <t>2026-03-22</t>
  </si>
  <si>
    <t>💰 Personal Finance Dashboard — Jan to Mar 2026</t>
  </si>
  <si>
    <t>University of Calgary Student Budget Tracker</t>
  </si>
  <si>
    <t>📊  KEY METRICS</t>
  </si>
  <si>
    <t>📅  MONTHLY BREAKDOWN</t>
  </si>
  <si>
    <t>Total Income</t>
  </si>
  <si>
    <t>Month</t>
  </si>
  <si>
    <t>Net</t>
  </si>
  <si>
    <t>Total Expenses</t>
  </si>
  <si>
    <t>January</t>
  </si>
  <si>
    <t>Net Savings</t>
  </si>
  <si>
    <t>February</t>
  </si>
  <si>
    <t>Savings Rate</t>
  </si>
  <si>
    <t>March</t>
  </si>
  <si>
    <t>Avg Monthly Exp</t>
  </si>
  <si>
    <t>Avg Monthly Inc</t>
  </si>
  <si>
    <t>📂  EXPENSES BY CATEGORY</t>
  </si>
  <si>
    <t>TOTAL</t>
  </si>
  <si>
    <t>📈 Spending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</si>
</sst>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5"/>
      <color rgb="FF1F3864"/>
      <name val="Arial"/>
      <charset val="1"/>
    </font>
    <font>
      <i/>
      <sz val="10"/>
      <color rgb="FF888888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5E9"/>
        <bgColor rgb="FFE3F2FD"/>
      </patternFill>
    </fill>
    <fill>
      <patternFill patternType="solid">
        <fgColor rgb="FFF9F9F9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FFFFF"/>
        <bgColor rgb="FFF9F9F9"/>
      </patternFill>
    </fill>
    <fill>
      <patternFill patternType="solid">
        <fgColor rgb="FFCFD8DC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2" fillId="6" borderId="1" xfId="0" applyFont="1" applyFill="1" applyBorder="1"/>
    <xf numFmtId="164" fontId="5" fillId="6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0" fontId="2" fillId="7" borderId="1" xfId="0" applyFont="1" applyFill="1" applyBorder="1"/>
    <xf numFmtId="164" fontId="5" fillId="7" borderId="1" xfId="0" applyNumberFormat="1" applyFont="1" applyFill="1" applyBorder="1" applyAlignment="1">
      <alignment horizontal="right"/>
    </xf>
    <xf numFmtId="0" fontId="2" fillId="8" borderId="1" xfId="0" applyFont="1" applyFill="1" applyBorder="1"/>
    <xf numFmtId="164" fontId="5" fillId="8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/>
    </xf>
    <xf numFmtId="0" fontId="5" fillId="9" borderId="1" xfId="0" applyFont="1" applyFill="1" applyBorder="1"/>
    <xf numFmtId="164" fontId="5" fillId="9" borderId="1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3E0"/>
      <rgbColor rgb="FFE3F2FD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9F9F9"/>
      <rgbColor rgb="FFFFEBEE"/>
      <rgbColor rgb="FF99CCFF"/>
      <rgbColor rgb="FFFF99CC"/>
      <rgbColor rgb="FFCC99FF"/>
      <rgbColor rgb="FFD9D9D9"/>
      <rgbColor rgb="FF4F81BD"/>
      <rgbColor rgb="FF4BACC6"/>
      <rgbColor rgb="FF9BBB59"/>
      <rgbColor rgb="FFFFCC00"/>
      <rgbColor rgb="FFF79646"/>
      <rgbColor rgb="FFFF6600"/>
      <rgbColor rgb="FF8064A2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Charts!$A$4:$A$9</c:f>
              <c:strCache>
                <c:ptCount val="6"/>
                <c:pt idx="0">
                  <c:v>Rent</c:v>
                </c:pt>
                <c:pt idx="1">
                  <c:v>Groceries</c:v>
                </c:pt>
                <c:pt idx="2">
                  <c:v>Transport</c:v>
                </c:pt>
                <c:pt idx="3">
                  <c:v>Eating Out</c:v>
                </c:pt>
                <c:pt idx="4">
                  <c:v>Subscriptions</c:v>
                </c:pt>
                <c:pt idx="5">
                  <c:v>Entertainment</c:v>
                </c:pt>
              </c:strCache>
            </c:strRef>
          </c:cat>
          <c:val>
            <c:numRef>
              <c:f>Charts!$B$4:$B$9</c:f>
              <c:numCache>
                <c:formatCode>\$#,##0.00</c:formatCode>
                <c:ptCount val="6"/>
                <c:pt idx="0">
                  <c:v>2175</c:v>
                </c:pt>
                <c:pt idx="1">
                  <c:v>435</c:v>
                </c:pt>
                <c:pt idx="2">
                  <c:v>345</c:v>
                </c:pt>
                <c:pt idx="3">
                  <c:v>135</c:v>
                </c:pt>
                <c:pt idx="4">
                  <c:v>54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96F-B5C3-7E7AE176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10044"/>
        <c:axId val="79682289"/>
      </c:barChart>
      <c:catAx>
        <c:axId val="26510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82289"/>
        <c:crosses val="autoZero"/>
        <c:auto val="1"/>
        <c:lblAlgn val="ctr"/>
        <c:lblOffset val="100"/>
        <c:noMultiLvlLbl val="0"/>
      </c:catAx>
      <c:valAx>
        <c:axId val="79682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10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Spending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583-4EEF-8AC3-A3FAD82EFA1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583-4EEF-8AC3-A3FAD82EFA1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583-4EEF-8AC3-A3FAD82EFA1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583-4EEF-8AC3-A3FAD82EFA1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583-4EEF-8AC3-A3FAD82EFA1F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583-4EEF-8AC3-A3FAD82EFA1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583-4EEF-8AC3-A3FAD82EFA1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583-4EEF-8AC3-A3FAD82EFA1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583-4EEF-8AC3-A3FAD82EFA1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583-4EEF-8AC3-A3FAD82EFA1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583-4EEF-8AC3-A3FAD82EFA1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583-4EEF-8AC3-A3FAD82EFA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Charts!$A$4:$A$9</c:f>
              <c:strCache>
                <c:ptCount val="6"/>
                <c:pt idx="0">
                  <c:v>Rent</c:v>
                </c:pt>
                <c:pt idx="1">
                  <c:v>Groceries</c:v>
                </c:pt>
                <c:pt idx="2">
                  <c:v>Transport</c:v>
                </c:pt>
                <c:pt idx="3">
                  <c:v>Eating Out</c:v>
                </c:pt>
                <c:pt idx="4">
                  <c:v>Subscriptions</c:v>
                </c:pt>
                <c:pt idx="5">
                  <c:v>Entertainment</c:v>
                </c:pt>
              </c:strCache>
            </c:strRef>
          </c:cat>
          <c:val>
            <c:numRef>
              <c:f>Charts!$B$4:$B$9</c:f>
              <c:numCache>
                <c:formatCode>\$#,##0.00</c:formatCode>
                <c:ptCount val="6"/>
                <c:pt idx="0">
                  <c:v>2175</c:v>
                </c:pt>
                <c:pt idx="1">
                  <c:v>435</c:v>
                </c:pt>
                <c:pt idx="2">
                  <c:v>345</c:v>
                </c:pt>
                <c:pt idx="3">
                  <c:v>135</c:v>
                </c:pt>
                <c:pt idx="4">
                  <c:v>54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83-4EEF-8AC3-A3FAD82E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160920</xdr:rowOff>
    </xdr:from>
    <xdr:to>
      <xdr:col>9</xdr:col>
      <xdr:colOff>563625</xdr:colOff>
      <xdr:row>31</xdr:row>
      <xdr:rowOff>97920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160920</xdr:rowOff>
    </xdr:from>
    <xdr:to>
      <xdr:col>19</xdr:col>
      <xdr:colOff>363600</xdr:colOff>
      <xdr:row>31</xdr:row>
      <xdr:rowOff>97920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N17" sqref="N17"/>
    </sheetView>
  </sheetViews>
  <sheetFormatPr defaultColWidth="8.7109375" defaultRowHeight="15" x14ac:dyDescent="0.25"/>
  <cols>
    <col min="1" max="1" width="14" customWidth="1"/>
    <col min="2" max="2" width="18" customWidth="1"/>
    <col min="3" max="3" width="28" customWidth="1"/>
    <col min="4" max="5" width="12" customWidth="1"/>
  </cols>
  <sheetData>
    <row r="1" spans="1:5" ht="21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 x14ac:dyDescent="0.25">
      <c r="A2" s="6" t="s">
        <v>5</v>
      </c>
      <c r="B2" s="7" t="s">
        <v>6</v>
      </c>
      <c r="C2" s="7" t="s">
        <v>7</v>
      </c>
      <c r="D2" s="8">
        <v>600</v>
      </c>
      <c r="E2" s="6" t="s">
        <v>6</v>
      </c>
    </row>
    <row r="3" spans="1:5" ht="15" customHeight="1" x14ac:dyDescent="0.25">
      <c r="A3" s="9" t="s">
        <v>8</v>
      </c>
      <c r="B3" s="10" t="s">
        <v>9</v>
      </c>
      <c r="C3" s="10" t="s">
        <v>10</v>
      </c>
      <c r="D3" s="11">
        <v>725</v>
      </c>
      <c r="E3" s="9" t="s">
        <v>11</v>
      </c>
    </row>
    <row r="4" spans="1:5" ht="15" customHeight="1" x14ac:dyDescent="0.25">
      <c r="A4" s="12" t="s">
        <v>12</v>
      </c>
      <c r="B4" s="13" t="s">
        <v>13</v>
      </c>
      <c r="C4" s="13" t="s">
        <v>14</v>
      </c>
      <c r="D4" s="14">
        <v>40</v>
      </c>
      <c r="E4" s="12" t="s">
        <v>11</v>
      </c>
    </row>
    <row r="5" spans="1:5" ht="15" customHeight="1" x14ac:dyDescent="0.25">
      <c r="A5" s="9" t="s">
        <v>15</v>
      </c>
      <c r="B5" s="10" t="s">
        <v>16</v>
      </c>
      <c r="C5" s="10" t="s">
        <v>17</v>
      </c>
      <c r="D5" s="11">
        <v>115</v>
      </c>
      <c r="E5" s="9" t="s">
        <v>11</v>
      </c>
    </row>
    <row r="6" spans="1:5" ht="15" customHeight="1" x14ac:dyDescent="0.25">
      <c r="A6" s="6" t="s">
        <v>18</v>
      </c>
      <c r="B6" s="7" t="s">
        <v>6</v>
      </c>
      <c r="C6" s="7" t="s">
        <v>7</v>
      </c>
      <c r="D6" s="8">
        <v>600</v>
      </c>
      <c r="E6" s="6" t="s">
        <v>6</v>
      </c>
    </row>
    <row r="7" spans="1:5" ht="15" customHeight="1" x14ac:dyDescent="0.25">
      <c r="A7" s="9" t="s">
        <v>18</v>
      </c>
      <c r="B7" s="10" t="s">
        <v>13</v>
      </c>
      <c r="C7" s="10" t="s">
        <v>14</v>
      </c>
      <c r="D7" s="11">
        <v>40</v>
      </c>
      <c r="E7" s="9" t="s">
        <v>11</v>
      </c>
    </row>
    <row r="8" spans="1:5" ht="15" customHeight="1" x14ac:dyDescent="0.25">
      <c r="A8" s="12" t="s">
        <v>19</v>
      </c>
      <c r="B8" s="13" t="s">
        <v>20</v>
      </c>
      <c r="C8" s="13" t="s">
        <v>21</v>
      </c>
      <c r="D8" s="14">
        <v>45</v>
      </c>
      <c r="E8" s="12" t="s">
        <v>11</v>
      </c>
    </row>
    <row r="9" spans="1:5" ht="15" customHeight="1" x14ac:dyDescent="0.25">
      <c r="A9" s="9" t="s">
        <v>22</v>
      </c>
      <c r="B9" s="10" t="s">
        <v>23</v>
      </c>
      <c r="C9" s="10" t="s">
        <v>24</v>
      </c>
      <c r="D9" s="11">
        <v>18</v>
      </c>
      <c r="E9" s="9" t="s">
        <v>11</v>
      </c>
    </row>
    <row r="10" spans="1:5" ht="15" customHeight="1" x14ac:dyDescent="0.25">
      <c r="A10" s="12" t="s">
        <v>25</v>
      </c>
      <c r="B10" s="13" t="s">
        <v>13</v>
      </c>
      <c r="C10" s="13" t="s">
        <v>14</v>
      </c>
      <c r="D10" s="14">
        <v>110</v>
      </c>
      <c r="E10" s="12" t="s">
        <v>11</v>
      </c>
    </row>
    <row r="11" spans="1:5" ht="15" customHeight="1" x14ac:dyDescent="0.25">
      <c r="A11" s="6" t="s">
        <v>26</v>
      </c>
      <c r="B11" s="7" t="s">
        <v>6</v>
      </c>
      <c r="C11" s="7" t="s">
        <v>7</v>
      </c>
      <c r="D11" s="8">
        <v>600</v>
      </c>
      <c r="E11" s="6" t="s">
        <v>6</v>
      </c>
    </row>
    <row r="12" spans="1:5" ht="15" customHeight="1" x14ac:dyDescent="0.25">
      <c r="A12" s="12" t="s">
        <v>27</v>
      </c>
      <c r="B12" s="13" t="s">
        <v>9</v>
      </c>
      <c r="C12" s="13" t="s">
        <v>10</v>
      </c>
      <c r="D12" s="14">
        <v>725</v>
      </c>
      <c r="E12" s="12" t="s">
        <v>11</v>
      </c>
    </row>
    <row r="13" spans="1:5" ht="15" customHeight="1" x14ac:dyDescent="0.25">
      <c r="A13" s="9" t="s">
        <v>28</v>
      </c>
      <c r="B13" s="10" t="s">
        <v>13</v>
      </c>
      <c r="C13" s="10" t="s">
        <v>14</v>
      </c>
      <c r="D13" s="11">
        <v>130</v>
      </c>
      <c r="E13" s="9" t="s">
        <v>11</v>
      </c>
    </row>
    <row r="14" spans="1:5" ht="15" customHeight="1" x14ac:dyDescent="0.25">
      <c r="A14" s="12" t="s">
        <v>29</v>
      </c>
      <c r="B14" s="13" t="s">
        <v>20</v>
      </c>
      <c r="C14" s="13" t="s">
        <v>30</v>
      </c>
      <c r="D14" s="14">
        <v>65</v>
      </c>
      <c r="E14" s="12" t="s">
        <v>11</v>
      </c>
    </row>
    <row r="15" spans="1:5" ht="15" customHeight="1" x14ac:dyDescent="0.25">
      <c r="A15" s="6" t="s">
        <v>31</v>
      </c>
      <c r="B15" s="7" t="s">
        <v>6</v>
      </c>
      <c r="C15" s="7" t="s">
        <v>7</v>
      </c>
      <c r="D15" s="8">
        <v>600</v>
      </c>
      <c r="E15" s="6" t="s">
        <v>6</v>
      </c>
    </row>
    <row r="16" spans="1:5" ht="15" customHeight="1" x14ac:dyDescent="0.25">
      <c r="A16" s="12" t="s">
        <v>32</v>
      </c>
      <c r="B16" s="13" t="s">
        <v>16</v>
      </c>
      <c r="C16" s="13" t="s">
        <v>17</v>
      </c>
      <c r="D16" s="14">
        <v>115</v>
      </c>
      <c r="E16" s="12" t="s">
        <v>11</v>
      </c>
    </row>
    <row r="17" spans="1:5" ht="15" customHeight="1" x14ac:dyDescent="0.25">
      <c r="A17" s="9" t="s">
        <v>33</v>
      </c>
      <c r="B17" s="10" t="s">
        <v>34</v>
      </c>
      <c r="C17" s="10" t="s">
        <v>35</v>
      </c>
      <c r="D17" s="11">
        <v>30</v>
      </c>
      <c r="E17" s="9" t="s">
        <v>11</v>
      </c>
    </row>
    <row r="18" spans="1:5" ht="15" customHeight="1" x14ac:dyDescent="0.25">
      <c r="A18" s="12" t="s">
        <v>36</v>
      </c>
      <c r="B18" s="13" t="s">
        <v>23</v>
      </c>
      <c r="C18" s="13" t="s">
        <v>24</v>
      </c>
      <c r="D18" s="14">
        <v>18</v>
      </c>
      <c r="E18" s="12" t="s">
        <v>11</v>
      </c>
    </row>
    <row r="19" spans="1:5" ht="15" customHeight="1" x14ac:dyDescent="0.25">
      <c r="A19" s="6" t="s">
        <v>37</v>
      </c>
      <c r="B19" s="7" t="s">
        <v>6</v>
      </c>
      <c r="C19" s="7" t="s">
        <v>7</v>
      </c>
      <c r="D19" s="8">
        <v>600</v>
      </c>
      <c r="E19" s="6" t="s">
        <v>6</v>
      </c>
    </row>
    <row r="20" spans="1:5" ht="15" customHeight="1" x14ac:dyDescent="0.25">
      <c r="A20" s="12" t="s">
        <v>38</v>
      </c>
      <c r="B20" s="13" t="s">
        <v>9</v>
      </c>
      <c r="C20" s="13" t="s">
        <v>10</v>
      </c>
      <c r="D20" s="14">
        <v>725</v>
      </c>
      <c r="E20" s="12" t="s">
        <v>11</v>
      </c>
    </row>
    <row r="21" spans="1:5" ht="15" customHeight="1" x14ac:dyDescent="0.25">
      <c r="A21" s="9" t="s">
        <v>39</v>
      </c>
      <c r="B21" s="10" t="s">
        <v>13</v>
      </c>
      <c r="C21" s="10" t="s">
        <v>14</v>
      </c>
      <c r="D21" s="11">
        <v>115</v>
      </c>
      <c r="E21" s="9" t="s">
        <v>11</v>
      </c>
    </row>
    <row r="22" spans="1:5" ht="15" customHeight="1" x14ac:dyDescent="0.25">
      <c r="A22" s="12" t="s">
        <v>40</v>
      </c>
      <c r="B22" s="13" t="s">
        <v>16</v>
      </c>
      <c r="C22" s="13" t="s">
        <v>17</v>
      </c>
      <c r="D22" s="14">
        <v>115</v>
      </c>
      <c r="E22" s="12" t="s">
        <v>11</v>
      </c>
    </row>
    <row r="23" spans="1:5" ht="15" customHeight="1" x14ac:dyDescent="0.25">
      <c r="A23" s="9" t="s">
        <v>41</v>
      </c>
      <c r="B23" s="10" t="s">
        <v>20</v>
      </c>
      <c r="C23" s="10" t="s">
        <v>42</v>
      </c>
      <c r="D23" s="11">
        <v>25</v>
      </c>
      <c r="E23" s="9" t="s">
        <v>11</v>
      </c>
    </row>
    <row r="24" spans="1:5" ht="15" customHeight="1" x14ac:dyDescent="0.25">
      <c r="A24" s="6" t="s">
        <v>43</v>
      </c>
      <c r="B24" s="7" t="s">
        <v>6</v>
      </c>
      <c r="C24" s="7" t="s">
        <v>7</v>
      </c>
      <c r="D24" s="8">
        <v>600</v>
      </c>
      <c r="E24" s="6" t="s">
        <v>6</v>
      </c>
    </row>
    <row r="25" spans="1:5" ht="15" customHeight="1" x14ac:dyDescent="0.25">
      <c r="A25" s="9" t="s">
        <v>44</v>
      </c>
      <c r="B25" s="10" t="s">
        <v>23</v>
      </c>
      <c r="C25" s="10" t="s">
        <v>24</v>
      </c>
      <c r="D25" s="11">
        <v>18</v>
      </c>
      <c r="E25" s="9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selection sqref="A1:E1"/>
    </sheetView>
  </sheetViews>
  <sheetFormatPr defaultColWidth="8.7109375" defaultRowHeight="15" x14ac:dyDescent="0.25"/>
  <cols>
    <col min="1" max="1" width="26" customWidth="1"/>
    <col min="2" max="2" width="16" customWidth="1"/>
    <col min="3" max="3" width="4" customWidth="1"/>
    <col min="4" max="4" width="26" customWidth="1"/>
    <col min="5" max="5" width="16" customWidth="1"/>
  </cols>
  <sheetData>
    <row r="1" spans="1:5" ht="30" customHeight="1" x14ac:dyDescent="0.25">
      <c r="A1" s="4" t="s">
        <v>45</v>
      </c>
      <c r="B1" s="4"/>
      <c r="C1" s="4"/>
      <c r="D1" s="4"/>
      <c r="E1" s="4"/>
    </row>
    <row r="2" spans="1:5" ht="15" customHeight="1" x14ac:dyDescent="0.25">
      <c r="A2" s="3" t="s">
        <v>46</v>
      </c>
      <c r="B2" s="3"/>
      <c r="C2" s="3"/>
      <c r="D2" s="3"/>
      <c r="E2" s="3"/>
    </row>
    <row r="4" spans="1:5" ht="19.5" customHeight="1" x14ac:dyDescent="0.25">
      <c r="A4" s="2" t="s">
        <v>47</v>
      </c>
      <c r="B4" s="2"/>
      <c r="D4" s="2" t="s">
        <v>48</v>
      </c>
      <c r="E4" s="2"/>
    </row>
    <row r="5" spans="1:5" ht="15" customHeight="1" x14ac:dyDescent="0.25">
      <c r="A5" s="15" t="s">
        <v>49</v>
      </c>
      <c r="B5" s="16">
        <f>SUMIF('Raw Data'!E:E,"Income",'Raw Data'!D:D)</f>
        <v>3600</v>
      </c>
      <c r="D5" s="17" t="s">
        <v>50</v>
      </c>
      <c r="E5" s="17" t="s">
        <v>51</v>
      </c>
    </row>
    <row r="6" spans="1:5" ht="15" customHeight="1" x14ac:dyDescent="0.25">
      <c r="A6" s="18" t="s">
        <v>52</v>
      </c>
      <c r="B6" s="19">
        <f>SUMIF('Raw Data'!E:E,"Expense",'Raw Data'!D:D)</f>
        <v>3174</v>
      </c>
      <c r="D6" s="20" t="s">
        <v>53</v>
      </c>
      <c r="E6" s="21">
        <v>147</v>
      </c>
    </row>
    <row r="7" spans="1:5" ht="15" customHeight="1" x14ac:dyDescent="0.25">
      <c r="A7" s="22" t="s">
        <v>54</v>
      </c>
      <c r="B7" s="23">
        <f>B5-B6</f>
        <v>426</v>
      </c>
      <c r="D7" s="24" t="s">
        <v>55</v>
      </c>
      <c r="E7" s="25">
        <v>342</v>
      </c>
    </row>
    <row r="8" spans="1:5" ht="15" customHeight="1" x14ac:dyDescent="0.25">
      <c r="A8" s="22" t="s">
        <v>56</v>
      </c>
      <c r="B8" s="26">
        <f>IF(B5&gt;0,(B5-B6)/B5,0)</f>
        <v>0.11833333333333333</v>
      </c>
      <c r="D8" s="20" t="s">
        <v>57</v>
      </c>
      <c r="E8" s="21">
        <v>427</v>
      </c>
    </row>
    <row r="9" spans="1:5" ht="15" customHeight="1" x14ac:dyDescent="0.25">
      <c r="A9" s="18" t="s">
        <v>58</v>
      </c>
      <c r="B9" s="19">
        <f>B6/3</f>
        <v>1058</v>
      </c>
    </row>
    <row r="10" spans="1:5" ht="15" customHeight="1" x14ac:dyDescent="0.25">
      <c r="A10" s="15" t="s">
        <v>59</v>
      </c>
      <c r="B10" s="16">
        <f>B5/3</f>
        <v>1200</v>
      </c>
    </row>
    <row r="12" spans="1:5" ht="19.5" customHeight="1" x14ac:dyDescent="0.25">
      <c r="A12" s="2" t="s">
        <v>60</v>
      </c>
      <c r="B12" s="2"/>
    </row>
    <row r="13" spans="1:5" ht="15" customHeight="1" x14ac:dyDescent="0.25">
      <c r="A13" s="20" t="s">
        <v>9</v>
      </c>
      <c r="B13" s="21">
        <f>SUMIFS('Raw Data'!D:D,'Raw Data'!B:B,"Rent",'Raw Data'!E:E,"Expense")</f>
        <v>2175</v>
      </c>
    </row>
    <row r="14" spans="1:5" ht="15" customHeight="1" x14ac:dyDescent="0.25">
      <c r="A14" s="24" t="s">
        <v>13</v>
      </c>
      <c r="B14" s="25">
        <f>SUMIFS('Raw Data'!D:D,'Raw Data'!B:B,"Groceries",'Raw Data'!E:E,"Expense")</f>
        <v>435</v>
      </c>
    </row>
    <row r="15" spans="1:5" ht="15" customHeight="1" x14ac:dyDescent="0.25">
      <c r="A15" s="20" t="s">
        <v>16</v>
      </c>
      <c r="B15" s="21">
        <f>SUMIFS('Raw Data'!D:D,'Raw Data'!B:B,"Transport",'Raw Data'!E:E,"Expense")</f>
        <v>345</v>
      </c>
    </row>
    <row r="16" spans="1:5" ht="15" customHeight="1" x14ac:dyDescent="0.25">
      <c r="A16" s="24" t="s">
        <v>20</v>
      </c>
      <c r="B16" s="25">
        <f>SUMIFS('Raw Data'!D:D,'Raw Data'!B:B,"Eating Out",'Raw Data'!E:E,"Expense")</f>
        <v>135</v>
      </c>
    </row>
    <row r="17" spans="1:2" ht="15" customHeight="1" x14ac:dyDescent="0.25">
      <c r="A17" s="20" t="s">
        <v>23</v>
      </c>
      <c r="B17" s="21">
        <f>SUMIFS('Raw Data'!D:D,'Raw Data'!B:B,"Subscriptions",'Raw Data'!E:E,"Expense")</f>
        <v>54</v>
      </c>
    </row>
    <row r="18" spans="1:2" ht="15" customHeight="1" x14ac:dyDescent="0.25">
      <c r="A18" s="24" t="s">
        <v>34</v>
      </c>
      <c r="B18" s="25">
        <f>SUMIFS('Raw Data'!D:D,'Raw Data'!B:B,"Entertainment",'Raw Data'!E:E,"Expense")</f>
        <v>30</v>
      </c>
    </row>
    <row r="19" spans="1:2" ht="15" customHeight="1" x14ac:dyDescent="0.25">
      <c r="A19" s="27" t="s">
        <v>61</v>
      </c>
      <c r="B19" s="28">
        <f>SUM(B13:B18)</f>
        <v>3174</v>
      </c>
    </row>
  </sheetData>
  <mergeCells count="5">
    <mergeCell ref="A1:E1"/>
    <mergeCell ref="A2:E2"/>
    <mergeCell ref="A4:B4"/>
    <mergeCell ref="D4:E4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zoomScaleNormal="100" workbookViewId="0">
      <selection activeCell="Z23" sqref="Z23"/>
    </sheetView>
  </sheetViews>
  <sheetFormatPr defaultColWidth="8.7109375" defaultRowHeight="15" x14ac:dyDescent="0.25"/>
  <cols>
    <col min="1" max="1" width="14" bestFit="1" customWidth="1"/>
    <col min="2" max="2" width="9.140625" bestFit="1" customWidth="1"/>
  </cols>
  <sheetData>
    <row r="1" spans="1:12" ht="17.25" customHeight="1" x14ac:dyDescent="0.2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15" customHeight="1" x14ac:dyDescent="0.25">
      <c r="A3" s="29" t="s">
        <v>1</v>
      </c>
      <c r="B3" s="29" t="s">
        <v>3</v>
      </c>
    </row>
    <row r="4" spans="1:12" ht="15" customHeight="1" x14ac:dyDescent="0.25">
      <c r="A4" t="s">
        <v>9</v>
      </c>
      <c r="B4" s="30">
        <f>SUMIFS('Raw Data'!D:D,'Raw Data'!B:B,"Rent",'Raw Data'!E:E,"Expense")</f>
        <v>2175</v>
      </c>
    </row>
    <row r="5" spans="1:12" ht="15" customHeight="1" x14ac:dyDescent="0.25">
      <c r="A5" t="s">
        <v>13</v>
      </c>
      <c r="B5" s="30">
        <f>SUMIFS('Raw Data'!D:D,'Raw Data'!B:B,"Groceries",'Raw Data'!E:E,"Expense")</f>
        <v>435</v>
      </c>
    </row>
    <row r="6" spans="1:12" ht="15" customHeight="1" x14ac:dyDescent="0.25">
      <c r="A6" t="s">
        <v>16</v>
      </c>
      <c r="B6" s="30">
        <f>SUMIFS('Raw Data'!D:D,'Raw Data'!B:B,"Transport",'Raw Data'!E:E,"Expense")</f>
        <v>345</v>
      </c>
    </row>
    <row r="7" spans="1:12" ht="15" customHeight="1" x14ac:dyDescent="0.25">
      <c r="A7" t="s">
        <v>20</v>
      </c>
      <c r="B7" s="30">
        <f>SUMIFS('Raw Data'!D:D,'Raw Data'!B:B,"Eating Out",'Raw Data'!E:E,"Expense")</f>
        <v>135</v>
      </c>
    </row>
    <row r="8" spans="1:12" ht="15" customHeight="1" x14ac:dyDescent="0.25">
      <c r="A8" t="s">
        <v>23</v>
      </c>
      <c r="B8" s="30">
        <f>SUMIFS('Raw Data'!D:D,'Raw Data'!B:B,"Subscriptions",'Raw Data'!E:E,"Expense")</f>
        <v>54</v>
      </c>
    </row>
    <row r="9" spans="1:12" ht="15" customHeight="1" x14ac:dyDescent="0.25">
      <c r="A9" t="s">
        <v>34</v>
      </c>
      <c r="B9" s="30">
        <f>SUMIFS('Raw Data'!D:D,'Raw Data'!B:B,"Entertainment",'Raw Data'!E:E,"Expense")</f>
        <v>30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Ebnul Tanim</cp:lastModifiedBy>
  <cp:revision>4</cp:revision>
  <dcterms:created xsi:type="dcterms:W3CDTF">2026-03-09T05:05:49Z</dcterms:created>
  <dcterms:modified xsi:type="dcterms:W3CDTF">2026-03-09T06:37:23Z</dcterms:modified>
  <dc:language>en-US</dc:language>
</cp:coreProperties>
</file>